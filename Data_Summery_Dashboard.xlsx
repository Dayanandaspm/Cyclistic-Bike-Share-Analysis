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r. Sapam\Coursera\case study\"/>
    </mc:Choice>
  </mc:AlternateContent>
  <xr:revisionPtr revIDLastSave="0" documentId="8_{BEBEB4DF-2D3E-47D9-9360-134CE176B7F3}" xr6:coauthVersionLast="47" xr6:coauthVersionMax="47" xr10:uidLastSave="{00000000-0000-0000-0000-000000000000}"/>
  <bookViews>
    <workbookView xWindow="-98" yWindow="-98" windowWidth="19396" windowHeight="11475" activeTab="1" xr2:uid="{7D89C14B-EE52-452B-B4BD-BCC6F1E6CAD0}"/>
  </bookViews>
  <sheets>
    <sheet name="Summery " sheetId="1" r:id="rId1"/>
    <sheet name="Dashboard" sheetId="2" r:id="rId2"/>
  </sheets>
  <definedNames>
    <definedName name="_xlnm._FilterDatabase" localSheetId="0" hidden="1">'Summery '!$M$5:$M$14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<sst xmlns="http://schemas.openxmlformats.org/spreadsheetml/2006/main" count="79" uniqueCount="58">
  <si>
    <t>Streeter Dr &amp; Grand Ave</t>
  </si>
  <si>
    <t>DuSable Lake Shore Dr &amp; Monroe St</t>
  </si>
  <si>
    <t>Millennium Park</t>
  </si>
  <si>
    <t>Shedd Aquarium</t>
  </si>
  <si>
    <t>Michigan Ave &amp; Oak St</t>
  </si>
  <si>
    <t>Dusable Harbor</t>
  </si>
  <si>
    <t>DuSable Lake Shore Dr &amp; North Blvd</t>
  </si>
  <si>
    <t>Kingsbury St &amp; Kinzie St</t>
  </si>
  <si>
    <t>Theater on the Lake</t>
  </si>
  <si>
    <t>Indiana Ave &amp; Roosevelt Rd</t>
  </si>
  <si>
    <t>Clinton St &amp; Washington Blvd</t>
  </si>
  <si>
    <t>University Ave &amp; 57th St</t>
  </si>
  <si>
    <t>Canal St &amp; Madison St</t>
  </si>
  <si>
    <t>Clinton St &amp; Madison St</t>
  </si>
  <si>
    <t>Clark St &amp; Elm St</t>
  </si>
  <si>
    <t>Ellis Ave &amp; 60th St</t>
  </si>
  <si>
    <t>Clinton St &amp; Jackson Blvd</t>
  </si>
  <si>
    <t>Canal St &amp; Adams St</t>
  </si>
  <si>
    <t>State St &amp; Chicago Ave</t>
  </si>
  <si>
    <t>Member</t>
  </si>
  <si>
    <t>Starting Station</t>
  </si>
  <si>
    <t>Total Trips</t>
  </si>
  <si>
    <t xml:space="preserve">Cyclistic_Bike_Share_Analysis Data Summery </t>
  </si>
  <si>
    <t>Finding 1 — Total trips by rider type</t>
  </si>
  <si>
    <t>Rider Type</t>
  </si>
  <si>
    <t>Casual</t>
  </si>
  <si>
    <t>Total</t>
  </si>
  <si>
    <t>Chart: Clustered Column.</t>
  </si>
  <si>
    <t>Finding 2 — Average ride duration by rider type</t>
  </si>
  <si>
    <t>Avg Ride Duration (Minutes)</t>
  </si>
  <si>
    <t>Finding 3 — Trips by weekday and rider type</t>
  </si>
  <si>
    <t>Weekday</t>
  </si>
  <si>
    <t>Casual Trips</t>
  </si>
  <si>
    <t>Member Trips</t>
  </si>
  <si>
    <t>Sunday</t>
  </si>
  <si>
    <t>Monday</t>
  </si>
  <si>
    <t>Tuesday</t>
  </si>
  <si>
    <t>Wednesday</t>
  </si>
  <si>
    <t>Thursday</t>
  </si>
  <si>
    <t>Friday</t>
  </si>
  <si>
    <t>Saturday</t>
  </si>
  <si>
    <t>Chart: Clustered Column. Saturday has the most casual trips; Thursday has the most member trips.</t>
  </si>
  <si>
    <t>Finding 4A — Trips by month and rider type</t>
  </si>
  <si>
    <t>Month</t>
  </si>
  <si>
    <t>Chart: Line with Markers. Both rider types increased substantially toward May.</t>
  </si>
  <si>
    <t>Finding 4B — Trips by hour and rider type</t>
  </si>
  <si>
    <t>Hour</t>
  </si>
  <si>
    <t>Chart: Line with Markers. Both rider types peak at 5 PM, while members also show strong morning activity.</t>
  </si>
  <si>
    <t>Finding 5 — Average ride duration by weekday</t>
  </si>
  <si>
    <t>Casual Avg (Minutes)</t>
  </si>
  <si>
    <t>Member Avg (Minutes)</t>
  </si>
  <si>
    <t>Chart: Line with Markers. Casual rides last longer on every weekday; both groups have longer average rides on weekends than midweek.</t>
  </si>
  <si>
    <t>Finding 6 — Top 10 starting stations by rider type</t>
  </si>
  <si>
    <t>Casual riders</t>
  </si>
  <si>
    <t>Rank</t>
  </si>
  <si>
    <t>Member riders</t>
  </si>
  <si>
    <t>Chart: Two horizontal bar charts side by side—one for casual riders and one for members.</t>
  </si>
  <si>
    <t>Cyclistic Bike-Share Analysis | January–May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</si>
</sst>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6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17" fontId="0" fillId="0" borderId="1" xfId="0" applyNumberFormat="1" applyBorder="1" applyAlignment="1">
      <alignment vertical="center" wrapText="1"/>
    </xf>
    <xf numFmtId="18" fontId="0" fillId="0" borderId="1" xfId="0" applyNumberFormat="1" applyBorder="1" applyAlignment="1">
      <alignment vertical="center" wrapText="1"/>
    </xf>
    <xf numFmtId="0" fontId="4" fillId="0" borderId="0" xfId="0" applyFont="1" applyBorder="1"/>
    <xf numFmtId="0" fontId="3" fillId="3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Trips by Rider type</a:t>
            </a: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643886505275925E-2"/>
          <c:y val="0.21747067299413161"/>
          <c:w val="0.91998620807366083"/>
          <c:h val="0.646510376005248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'Summery '!$D$5</c:f>
              <c:strCache>
                <c:ptCount val="1"/>
                <c:pt idx="0">
                  <c:v>Total Trips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E8-4593-B626-E164AFFCC6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'Summery '!$C$6:$C$8</c15:sqref>
                  </c15:fullRef>
                </c:ext>
              </c:extLst>
              <c:f>'Summery '!$C$6:$C$7</c:f>
              <c:strCache>
                <c:ptCount val="2"/>
                <c:pt idx="0">
                  <c:v>Member</c:v>
                </c:pt>
                <c:pt idx="1">
                  <c:v>Casual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'Summery '!$D$6:$D$8</c15:sqref>
                  </c15:fullRef>
                </c:ext>
              </c:extLst>
              <c:f>'Summery '!$D$6:$D$7</c:f>
              <c:numCache>
                <c:formatCode>General</c:formatCode>
                <c:ptCount val="2"/>
                <c:pt idx="0">
                  <c:v>1032892</c:v>
                </c:pt>
                <c:pt idx="1">
                  <c:v>429629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8-4593-B626-E164AFFCC6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4630128"/>
        <c:axId val="2054630608"/>
      </c:barChart>
      <c:catAx>
        <c:axId val="2054630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630608"/>
        <c:crosses val="autoZero"/>
        <c:auto val="1"/>
        <c:lblAlgn val="ctr"/>
        <c:lblOffset val="100"/>
        <c:noMultiLvlLbl val="0"/>
      </c:catAx>
      <c:valAx>
        <c:axId val="205463060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5463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'Summery '!$D$12:$D$14</c:f>
              <c:strCache>
                <c:ptCount val="3"/>
                <c:pt idx="0">
                  <c:v>Finding 2 — Average ride duration by rider type</c:v>
                </c:pt>
                <c:pt idx="2">
                  <c:v>Avg Ride Duration (Minutes)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CA1-41A0-AD00-D3899383A8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'Summery '!$A$15:$C$17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'Summery '!$D$15:$D$17</c:f>
              <c:numCache>
                <c:formatCode>General</c:formatCode>
                <c:ptCount val="3"/>
                <c:pt idx="0">
                  <c:v>21.52</c:v>
                </c:pt>
                <c:pt idx="1">
                  <c:v>11.25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1-41A0-AD00-D3899383A8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13674592"/>
        <c:axId val="211367363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'Summery '!$E$12:$E$14</c15:sqref>
                        </c15:formulaRef>
                      </c:ext>
                    </c:extLst>
                    <c:strCache>
                      <c:ptCount val="3"/>
                      <c:pt idx="0">
                        <c:v>Finding 2 — Average ride duration by rider type</c:v>
                      </c:pt>
                      <c:pt idx="2">
                        <c:v>Avg Ride Duration (Minutes)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'Summery '!$A$15:$C$17</c15:sqref>
                        </c15:formulaRef>
                      </c:ext>
                    </c:extLst>
                    <c:strCache>
                      <c:ptCount val="2"/>
                      <c:pt idx="0">
                        <c:v>Casual</c:v>
                      </c:pt>
                      <c:pt idx="1">
                        <c:v>Member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'Summery '!$E$15:$E$17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CA1-41A0-AD00-D3899383A8A4}"/>
                  </c:ext>
                </c:extLst>
              </c15:ser>
            </c15:filteredBarSeries>
          </c:ext>
        </c:extLst>
      </c:barChart>
      <c:catAx>
        <c:axId val="211367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673632"/>
        <c:crosses val="autoZero"/>
        <c:auto val="1"/>
        <c:lblAlgn val="ctr"/>
        <c:lblOffset val="100"/>
        <c:noMultiLvlLbl val="0"/>
      </c:catAx>
      <c:valAx>
        <c:axId val="21136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67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Finding 3 — Trips by weekday and rider type</a:t>
            </a: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'Summery '!$H$5</c:f>
              <c:strCache>
                <c:ptCount val="1"/>
                <c:pt idx="0">
                  <c:v>Casual Trips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'Summery '!$G$6:$G$12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'Summery '!$H$6:$H$12</c:f>
              <c:numCache>
                <c:formatCode>General</c:formatCode>
                <c:ptCount val="7"/>
                <c:pt idx="0">
                  <c:v>59490</c:v>
                </c:pt>
                <c:pt idx="1">
                  <c:v>51736</c:v>
                </c:pt>
                <c:pt idx="2">
                  <c:v>50116</c:v>
                </c:pt>
                <c:pt idx="3">
                  <c:v>45867</c:v>
                </c:pt>
                <c:pt idx="4">
                  <c:v>56252</c:v>
                </c:pt>
                <c:pt idx="5">
                  <c:v>76896</c:v>
                </c:pt>
                <c:pt idx="6">
                  <c:v>89272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7-48E2-B179-D906B2B24B95}"/>
            </c:ext>
          </c:extLst>
        </c:ser>
        <c:ser>
          <c:idx val="1"/>
          <c:order val="1"/>
          <c:tx>
            <c:strRef>
              <c:f>'Summery '!$I$5</c:f>
              <c:strCache>
                <c:ptCount val="1"/>
                <c:pt idx="0">
                  <c:v>Member Trips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'Summery '!$G$6:$G$12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'Summery '!$I$6:$I$12</c:f>
              <c:numCache>
                <c:formatCode>General</c:formatCode>
                <c:ptCount val="7"/>
                <c:pt idx="0">
                  <c:v>98330</c:v>
                </c:pt>
                <c:pt idx="1">
                  <c:v>148091</c:v>
                </c:pt>
                <c:pt idx="2">
                  <c:v>165187</c:v>
                </c:pt>
                <c:pt idx="3">
                  <c:v>155176</c:v>
                </c:pt>
                <c:pt idx="4">
                  <c:v>172817</c:v>
                </c:pt>
                <c:pt idx="5">
                  <c:v>161338</c:v>
                </c:pt>
                <c:pt idx="6">
                  <c:v>131953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07-48E2-B179-D906B2B24B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8242160"/>
        <c:axId val="1958241200"/>
      </c:barChart>
      <c:catAx>
        <c:axId val="1958242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241200"/>
        <c:crosses val="autoZero"/>
        <c:auto val="1"/>
        <c:lblAlgn val="ctr"/>
        <c:lblOffset val="100"/>
        <c:noMultiLvlLbl val="0"/>
      </c:catAx>
      <c:valAx>
        <c:axId val="19582412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5824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50" b="1" i="0" u="none" strike="noStrike" baseline="0">
                <a:effectLst/>
              </a:rPr>
              <a:t>Finding 4A — Trips by month and rider type</a:t>
            </a:r>
            <a:r>
              <a:rPr lang="en-IN" sz="1050" b="0" i="0" u="none" strike="noStrike" baseline="0">
                <a:effectLst/>
              </a:rPr>
              <a:t> </a:t>
            </a:r>
            <a:endParaRPr lang="en-IN" sz="1050"/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'Summery '!$D$22</c:f>
              <c:strCache>
                <c:ptCount val="1"/>
                <c:pt idx="0">
                  <c:v>Casual Trips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'Summery '!$C$23:$C$27</c:f>
              <c:numCache>
                <c:formatCode>mmm\-yy</c:formatCode>
                <c:ptCount val="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</c:numCache>
            </c:numRef>
          </c:cat>
          <c:val>
            <c:numRef>
              <c:f>'Summery '!$D$23:$D$27</c:f>
              <c:numCache>
                <c:formatCode>General</c:formatCode>
                <c:ptCount val="5"/>
                <c:pt idx="0">
                  <c:v>24124</c:v>
                </c:pt>
                <c:pt idx="1">
                  <c:v>27757</c:v>
                </c:pt>
                <c:pt idx="2">
                  <c:v>85862</c:v>
                </c:pt>
                <c:pt idx="3">
                  <c:v>109239</c:v>
                </c:pt>
                <c:pt idx="4">
                  <c:v>182610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8-4283-A5A3-EA0A58EFB3CC}"/>
            </c:ext>
          </c:extLst>
        </c:ser>
        <c:ser>
          <c:idx val="1"/>
          <c:order val="1"/>
          <c:tx>
            <c:strRef>
              <c:f>'Summery '!$E$22</c:f>
              <c:strCache>
                <c:ptCount val="1"/>
                <c:pt idx="0">
                  <c:v>Member Trips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'Summery '!$C$23:$C$27</c:f>
              <c:numCache>
                <c:formatCode>mmm\-yy</c:formatCode>
                <c:ptCount val="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</c:numCache>
            </c:numRef>
          </c:cat>
          <c:val>
            <c:numRef>
              <c:f>'Summery '!$E$23:$E$27</c:f>
              <c:numCache>
                <c:formatCode>General</c:formatCode>
                <c:ptCount val="5"/>
                <c:pt idx="0">
                  <c:v>114527</c:v>
                </c:pt>
                <c:pt idx="1">
                  <c:v>124144</c:v>
                </c:pt>
                <c:pt idx="2">
                  <c:v>212268</c:v>
                </c:pt>
                <c:pt idx="3">
                  <c:v>262137</c:v>
                </c:pt>
                <c:pt idx="4">
                  <c:v>319800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58-4283-A5A3-EA0A58EFB3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46646416"/>
        <c:axId val="2046646896"/>
      </c:barChart>
      <c:dateAx>
        <c:axId val="20466464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646896"/>
        <c:crosses val="autoZero"/>
        <c:auto val="1"/>
        <c:lblOffset val="100"/>
        <c:baseTimeUnit val="months"/>
      </c:dateAx>
      <c:valAx>
        <c:axId val="20466468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4664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Finding 4B — Trips by hour and rider type</a:t>
            </a:r>
            <a:r>
              <a:rPr lang="en-IN" sz="1400" b="0" i="0" u="none" strike="noStrike" baseline="0">
                <a:effectLst/>
              </a:rPr>
              <a:t> </a:t>
            </a:r>
            <a:endParaRPr lang="en-IN"/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'Summery '!$H$22</c:f>
              <c:strCache>
                <c:ptCount val="1"/>
                <c:pt idx="0">
                  <c:v>Casual Trips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'Summery '!$G$23:$G$46</c:f>
              <c:numCache>
                <c:formatCode>h:mm\ AM/PM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'Summery '!$H$23:$H$46</c:f>
              <c:numCache>
                <c:formatCode>General</c:formatCode>
                <c:ptCount val="24"/>
                <c:pt idx="0">
                  <c:v>7633</c:v>
                </c:pt>
                <c:pt idx="1">
                  <c:v>4804</c:v>
                </c:pt>
                <c:pt idx="2">
                  <c:v>3172</c:v>
                </c:pt>
                <c:pt idx="3">
                  <c:v>1812</c:v>
                </c:pt>
                <c:pt idx="4">
                  <c:v>1517</c:v>
                </c:pt>
                <c:pt idx="5">
                  <c:v>2419</c:v>
                </c:pt>
                <c:pt idx="6">
                  <c:v>5870</c:v>
                </c:pt>
                <c:pt idx="7">
                  <c:v>11473</c:v>
                </c:pt>
                <c:pt idx="8">
                  <c:v>16531</c:v>
                </c:pt>
                <c:pt idx="9">
                  <c:v>15829</c:v>
                </c:pt>
                <c:pt idx="10">
                  <c:v>18204</c:v>
                </c:pt>
                <c:pt idx="11">
                  <c:v>23390</c:v>
                </c:pt>
                <c:pt idx="12">
                  <c:v>27984</c:v>
                </c:pt>
                <c:pt idx="13">
                  <c:v>29127</c:v>
                </c:pt>
                <c:pt idx="14">
                  <c:v>31061</c:v>
                </c:pt>
                <c:pt idx="15">
                  <c:v>35155</c:v>
                </c:pt>
                <c:pt idx="16">
                  <c:v>40900</c:v>
                </c:pt>
                <c:pt idx="17">
                  <c:v>43247</c:v>
                </c:pt>
                <c:pt idx="18">
                  <c:v>35280</c:v>
                </c:pt>
                <c:pt idx="19">
                  <c:v>24069</c:v>
                </c:pt>
                <c:pt idx="20">
                  <c:v>15955</c:v>
                </c:pt>
                <c:pt idx="21">
                  <c:v>13833</c:v>
                </c:pt>
                <c:pt idx="22">
                  <c:v>11438</c:v>
                </c:pt>
                <c:pt idx="23">
                  <c:v>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F2-4620-832A-C6D9EC49EB7E}"/>
            </c:ext>
          </c:extLst>
        </c:ser>
        <c:ser>
          <c:idx val="1"/>
          <c:order val="1"/>
          <c:tx>
            <c:strRef>
              <c:f>'Summery '!$I$22</c:f>
              <c:strCache>
                <c:ptCount val="1"/>
                <c:pt idx="0">
                  <c:v>Member Trips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'Summery '!$G$23:$G$46</c:f>
              <c:numCache>
                <c:formatCode>h:mm\ AM/PM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'Summery '!$I$23:$I$46</c:f>
              <c:numCache>
                <c:formatCode>General</c:formatCode>
                <c:ptCount val="24"/>
                <c:pt idx="0">
                  <c:v>8394</c:v>
                </c:pt>
                <c:pt idx="1">
                  <c:v>5110</c:v>
                </c:pt>
                <c:pt idx="2">
                  <c:v>2942</c:v>
                </c:pt>
                <c:pt idx="3">
                  <c:v>2209</c:v>
                </c:pt>
                <c:pt idx="4">
                  <c:v>2653</c:v>
                </c:pt>
                <c:pt idx="5">
                  <c:v>9965</c:v>
                </c:pt>
                <c:pt idx="6">
                  <c:v>29704</c:v>
                </c:pt>
                <c:pt idx="7">
                  <c:v>59144</c:v>
                </c:pt>
                <c:pt idx="8">
                  <c:v>77182</c:v>
                </c:pt>
                <c:pt idx="9">
                  <c:v>50904</c:v>
                </c:pt>
                <c:pt idx="10">
                  <c:v>42832</c:v>
                </c:pt>
                <c:pt idx="11">
                  <c:v>49589</c:v>
                </c:pt>
                <c:pt idx="12">
                  <c:v>56962</c:v>
                </c:pt>
                <c:pt idx="13">
                  <c:v>55604</c:v>
                </c:pt>
                <c:pt idx="14">
                  <c:v>56462</c:v>
                </c:pt>
                <c:pt idx="15">
                  <c:v>72016</c:v>
                </c:pt>
                <c:pt idx="16">
                  <c:v>101079</c:v>
                </c:pt>
                <c:pt idx="17">
                  <c:v>112776</c:v>
                </c:pt>
                <c:pt idx="18">
                  <c:v>83726</c:v>
                </c:pt>
                <c:pt idx="19">
                  <c:v>55349</c:v>
                </c:pt>
                <c:pt idx="20">
                  <c:v>36599</c:v>
                </c:pt>
                <c:pt idx="21">
                  <c:v>28604</c:v>
                </c:pt>
                <c:pt idx="22">
                  <c:v>20245</c:v>
                </c:pt>
                <c:pt idx="23">
                  <c:v>12826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F2-4620-832A-C6D9EC49E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692000"/>
        <c:axId val="1865695360"/>
      </c:lineChart>
      <c:catAx>
        <c:axId val="1865692000"/>
        <c:scaling>
          <c:orientation val="minMax"/>
        </c:scaling>
        <c:delete val="0"/>
        <c:axPos val="b"/>
        <c:numFmt formatCode="h:mm\ AM/P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695360"/>
        <c:crosses val="autoZero"/>
        <c:auto val="1"/>
        <c:lblAlgn val="ctr"/>
        <c:lblOffset val="100"/>
        <c:noMultiLvlLbl val="0"/>
      </c:catAx>
      <c:valAx>
        <c:axId val="18656953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8656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Finding 5 — Average ride duration by weekday</a:t>
            </a:r>
            <a:r>
              <a:rPr lang="en-IN" sz="1400" b="0" i="0" u="none" strike="noStrike" baseline="0">
                <a:effectLst/>
              </a:rPr>
              <a:t> </a:t>
            </a:r>
            <a:endParaRPr lang="en-IN"/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'Summery '!$C$34</c:f>
              <c:strCache>
                <c:ptCount val="1"/>
                <c:pt idx="0">
                  <c:v>Casual Avg (Minutes)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'Summery '!$B$35:$B$41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'Summery '!$C$35:$C$41</c:f>
              <c:numCache>
                <c:formatCode>General</c:formatCode>
                <c:ptCount val="7"/>
                <c:pt idx="0">
                  <c:v>25.42</c:v>
                </c:pt>
                <c:pt idx="1">
                  <c:v>21.29</c:v>
                </c:pt>
                <c:pt idx="2">
                  <c:v>19.079999999999998</c:v>
                </c:pt>
                <c:pt idx="3">
                  <c:v>16.579999999999998</c:v>
                </c:pt>
                <c:pt idx="4">
                  <c:v>18.52</c:v>
                </c:pt>
                <c:pt idx="5">
                  <c:v>21.85</c:v>
                </c:pt>
                <c:pt idx="6">
                  <c:v>24.53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A-467D-9CCA-9FF41A8082C9}"/>
            </c:ext>
          </c:extLst>
        </c:ser>
        <c:ser>
          <c:idx val="1"/>
          <c:order val="1"/>
          <c:tx>
            <c:strRef>
              <c:f>'Summery '!$D$34</c:f>
              <c:strCache>
                <c:ptCount val="1"/>
                <c:pt idx="0">
                  <c:v>Member Avg (Minutes)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'Summery '!$B$35:$B$41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'Summery '!$D$35:$D$41</c:f>
              <c:numCache>
                <c:formatCode>General</c:formatCode>
                <c:ptCount val="7"/>
                <c:pt idx="0">
                  <c:v>12.23</c:v>
                </c:pt>
                <c:pt idx="1">
                  <c:v>10.86</c:v>
                </c:pt>
                <c:pt idx="2">
                  <c:v>10.89</c:v>
                </c:pt>
                <c:pt idx="3">
                  <c:v>10.54</c:v>
                </c:pt>
                <c:pt idx="4">
                  <c:v>10.93</c:v>
                </c:pt>
                <c:pt idx="5">
                  <c:v>11.53</c:v>
                </c:pt>
                <c:pt idx="6">
                  <c:v>12.32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A-467D-9CCA-9FF41A8082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982560"/>
        <c:axId val="165983040"/>
      </c:barChart>
      <c:catAx>
        <c:axId val="16598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83040"/>
        <c:crosses val="autoZero"/>
        <c:auto val="1"/>
        <c:lblAlgn val="ctr"/>
        <c:lblOffset val="100"/>
        <c:noMultiLvlLbl val="0"/>
      </c:catAx>
      <c:valAx>
        <c:axId val="1659830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598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Starting Stations — Casual Riders</a:t>
            </a:r>
            <a:endParaRPr lang="en-US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8286401543246561"/>
          <c:y val="3.7036861202977646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'Summery '!$D$52:$D$53</c:f>
              <c:strCache>
                <c:ptCount val="2"/>
                <c:pt idx="0">
                  <c:v>Casual riders</c:v>
                </c:pt>
                <c:pt idx="1">
                  <c:v>Total Trips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'Summery '!$B$54:$C$63</c:f>
              <c:multiLvlStrCache>
                <c:ptCount val="10"/>
                <c:lvl>
                  <c:pt idx="0">
                    <c:v>Streeter Dr &amp; Grand Ave</c:v>
                  </c:pt>
                  <c:pt idx="1">
                    <c:v>DuSable Lake Shore Dr &amp; Monroe St</c:v>
                  </c:pt>
                  <c:pt idx="2">
                    <c:v>Millennium Park</c:v>
                  </c:pt>
                  <c:pt idx="3">
                    <c:v>Shedd Aquarium</c:v>
                  </c:pt>
                  <c:pt idx="4">
                    <c:v>Michigan Ave &amp; Oak St</c:v>
                  </c:pt>
                  <c:pt idx="5">
                    <c:v>Dusable Harbor</c:v>
                  </c:pt>
                  <c:pt idx="6">
                    <c:v>DuSable Lake Shore Dr &amp; North Blvd</c:v>
                  </c:pt>
                  <c:pt idx="7">
                    <c:v>Kingsbury St &amp; Kinzie St</c:v>
                  </c:pt>
                  <c:pt idx="8">
                    <c:v>Theater on the Lake</c:v>
                  </c:pt>
                  <c:pt idx="9">
                    <c:v>Indiana Ave &amp; Roosevelt Rd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'Summery '!$D$54:$D$63</c:f>
              <c:numCache>
                <c:formatCode>General</c:formatCode>
                <c:ptCount val="10"/>
                <c:pt idx="0">
                  <c:v>8467</c:v>
                </c:pt>
                <c:pt idx="1">
                  <c:v>6723</c:v>
                </c:pt>
                <c:pt idx="2">
                  <c:v>4120</c:v>
                </c:pt>
                <c:pt idx="3">
                  <c:v>4081</c:v>
                </c:pt>
                <c:pt idx="4">
                  <c:v>3716</c:v>
                </c:pt>
                <c:pt idx="5">
                  <c:v>3662</c:v>
                </c:pt>
                <c:pt idx="6">
                  <c:v>3014</c:v>
                </c:pt>
                <c:pt idx="7">
                  <c:v>2580</c:v>
                </c:pt>
                <c:pt idx="8">
                  <c:v>2424</c:v>
                </c:pt>
                <c:pt idx="9">
                  <c:v>2293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6-4593-9483-B95B7B61FB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0207072"/>
        <c:axId val="170206112"/>
      </c:barChart>
      <c:catAx>
        <c:axId val="1702070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06112"/>
        <c:crosses val="autoZero"/>
        <c:auto val="1"/>
        <c:lblAlgn val="ctr"/>
        <c:lblOffset val="100"/>
        <c:noMultiLvlLbl val="0"/>
      </c:catAx>
      <c:valAx>
        <c:axId val="170206112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020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/>
                </a:solidFill>
              </a:rPr>
              <a:t>Top 10 Starting Stations — Members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'Summery '!$H$52:$H$53</c:f>
              <c:strCache>
                <c:ptCount val="2"/>
                <c:pt idx="0">
                  <c:v>Member riders</c:v>
                </c:pt>
                <c:pt idx="1">
                  <c:v>Total Trips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'Summery '!$F$54:$G$63</c:f>
              <c:multiLvlStrCache>
                <c:ptCount val="10"/>
                <c:lvl>
                  <c:pt idx="0">
                    <c:v>Kingsbury St &amp; Kinzie St</c:v>
                  </c:pt>
                  <c:pt idx="1">
                    <c:v>Clinton St &amp; Washington Blvd</c:v>
                  </c:pt>
                  <c:pt idx="2">
                    <c:v>University Ave &amp; 57th St</c:v>
                  </c:pt>
                  <c:pt idx="3">
                    <c:v>Canal St &amp; Madison St</c:v>
                  </c:pt>
                  <c:pt idx="4">
                    <c:v>Clinton St &amp; Madison St</c:v>
                  </c:pt>
                  <c:pt idx="5">
                    <c:v>Clark St &amp; Elm St</c:v>
                  </c:pt>
                  <c:pt idx="6">
                    <c:v>Ellis Ave &amp; 60th St</c:v>
                  </c:pt>
                  <c:pt idx="7">
                    <c:v>Clinton St &amp; Jackson Blvd</c:v>
                  </c:pt>
                  <c:pt idx="8">
                    <c:v>Canal St &amp; Adams St</c:v>
                  </c:pt>
                  <c:pt idx="9">
                    <c:v>State St &amp; Chicago Ave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'Summery '!$H$54:$H$63</c:f>
              <c:numCache>
                <c:formatCode>General</c:formatCode>
                <c:ptCount val="10"/>
                <c:pt idx="0">
                  <c:v>10841</c:v>
                </c:pt>
                <c:pt idx="1">
                  <c:v>8640</c:v>
                </c:pt>
                <c:pt idx="2">
                  <c:v>7643</c:v>
                </c:pt>
                <c:pt idx="3">
                  <c:v>7574</c:v>
                </c:pt>
                <c:pt idx="4">
                  <c:v>7520</c:v>
                </c:pt>
                <c:pt idx="5">
                  <c:v>6901</c:v>
                </c:pt>
                <c:pt idx="6">
                  <c:v>6839</c:v>
                </c:pt>
                <c:pt idx="7">
                  <c:v>6305</c:v>
                </c:pt>
                <c:pt idx="8">
                  <c:v>5854</c:v>
                </c:pt>
                <c:pt idx="9">
                  <c:v>5837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9-4DC1-9A71-510051E9BE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6635088"/>
        <c:axId val="166635568"/>
      </c:barChart>
      <c:catAx>
        <c:axId val="1666350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5568"/>
        <c:crosses val="autoZero"/>
        <c:auto val="1"/>
        <c:lblAlgn val="ctr"/>
        <c:lblOffset val="100"/>
        <c:noMultiLvlLbl val="0"/>
      </c:catAx>
      <c:valAx>
        <c:axId val="166635568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663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618578</xdr:colOff>
      <xdr:row>3</xdr:row>
      <xdr:rowOff>43793</xdr:rowOff>
    </xdr:from>
    <xdr:to>
      <xdr:col>7</xdr:col>
      <xdr:colOff>234786</xdr:colOff>
      <xdr:row>15</xdr:row>
      <xdr:rowOff>42040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E269B3-5A5C-4010-806B-1EC36D1AD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250386</xdr:colOff>
      <xdr:row>3</xdr:row>
      <xdr:rowOff>48557</xdr:rowOff>
    </xdr:from>
    <xdr:to>
      <xdr:col>12</xdr:col>
      <xdr:colOff>448878</xdr:colOff>
      <xdr:row>15</xdr:row>
      <xdr:rowOff>60215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01AFFE-5CCF-411D-A4C6-52AA1A5C5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596681</xdr:colOff>
      <xdr:row>15</xdr:row>
      <xdr:rowOff>22938</xdr:rowOff>
    </xdr:from>
    <xdr:to>
      <xdr:col>7</xdr:col>
      <xdr:colOff>235388</xdr:colOff>
      <xdr:row>28</xdr:row>
      <xdr:rowOff>114957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D54089-657C-45C9-9464-97AD20E20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213490</xdr:colOff>
      <xdr:row>15</xdr:row>
      <xdr:rowOff>36458</xdr:rowOff>
    </xdr:from>
    <xdr:to>
      <xdr:col>12</xdr:col>
      <xdr:colOff>481342</xdr:colOff>
      <xdr:row>27</xdr:row>
      <xdr:rowOff>136852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1F8C0C-00A1-4464-8C30-71BDC71F51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503893</xdr:colOff>
      <xdr:row>3</xdr:row>
      <xdr:rowOff>38320</xdr:rowOff>
    </xdr:from>
    <xdr:to>
      <xdr:col>18</xdr:col>
      <xdr:colOff>476249</xdr:colOff>
      <xdr:row>15</xdr:row>
      <xdr:rowOff>60215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5D4525-DF95-4566-ABDD-B9F949F2BA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488622</xdr:colOff>
      <xdr:row>15</xdr:row>
      <xdr:rowOff>61475</xdr:rowOff>
    </xdr:from>
    <xdr:to>
      <xdr:col>18</xdr:col>
      <xdr:colOff>454353</xdr:colOff>
      <xdr:row>27</xdr:row>
      <xdr:rowOff>158749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57A358-8D5B-4540-9C43-4E716446E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450794</xdr:colOff>
      <xdr:row>28</xdr:row>
      <xdr:rowOff>13138</xdr:rowOff>
    </xdr:from>
    <xdr:to>
      <xdr:col>8</xdr:col>
      <xdr:colOff>488894</xdr:colOff>
      <xdr:row>43</xdr:row>
      <xdr:rowOff>41712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B6CB10D-C21D-41E3-998D-314BAFCAB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474608</xdr:colOff>
      <xdr:row>28</xdr:row>
      <xdr:rowOff>2190</xdr:rowOff>
    </xdr:from>
    <xdr:to>
      <xdr:col>15</xdr:col>
      <xdr:colOff>512708</xdr:colOff>
      <xdr:row>43</xdr:row>
      <xdr:rowOff>30764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49EC4B3-4C5F-4447-9FAD-99C6590D49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AD5A-4FDE-4920-A98F-ED436FDD629C}">
  <sheetPr>
    <tabColor theme="7" tint="-0.249977111117893"/>
  </sheetPr>
  <dimension ref="A1:K66"/>
  <sheetViews>
    <sheetView topLeftCell="A57" workbookViewId="0">
      <selection activeCell="I51" sqref="I51"/>
    </sheetView>
  </sheetViews>
  <sheetFormatPr defaultRowHeight="14.25" x14ac:dyDescent="0.45"/>
  <cols>
    <col min="2" max="2" width="8.9296875" customWidth="1"/>
    <col min="3" max="3" width="19.3984375" bestFit="1" customWidth="1"/>
    <col min="4" max="4" width="9.19921875" bestFit="1" customWidth="1"/>
    <col min="5" max="5" width="28.265625" customWidth="1"/>
    <col min="6" max="6" width="4.73046875" bestFit="1" customWidth="1"/>
    <col min="7" max="7" width="19.3984375" customWidth="1"/>
    <col min="8" max="8" width="9.19921875" bestFit="1" customWidth="1"/>
    <col min="9" max="9" width="16" customWidth="1"/>
    <col min="10" max="10" width="17.19921875" customWidth="1"/>
    <col min="11" max="11" width="11.6640625" customWidth="1"/>
    <col min="12" max="12" width="29.3984375" customWidth="1"/>
    <col min="16" max="16" width="17.53125" customWidth="1"/>
    <col min="17" max="17" width="15.86328125" customWidth="1"/>
  </cols>
  <sheetData>
    <row r="1" spans="1:11" x14ac:dyDescent="0.45">
      <c r="C1" s="1" t="s">
        <v>22</v>
      </c>
      <c r="D1" s="1"/>
      <c r="E1" s="1"/>
      <c r="F1" s="1"/>
    </row>
    <row r="3" spans="1:11" ht="23.25" x14ac:dyDescent="0.45">
      <c r="A3" s="7" t="s">
        <v>23</v>
      </c>
      <c r="B3" s="7"/>
      <c r="C3" s="7"/>
      <c r="D3" s="7"/>
      <c r="E3" s="7"/>
      <c r="F3" s="3" t="s">
        <v>30</v>
      </c>
      <c r="G3" s="3"/>
      <c r="H3" s="3"/>
      <c r="I3" s="3"/>
      <c r="J3" s="3"/>
      <c r="K3" s="3"/>
    </row>
    <row r="4" spans="1:11" x14ac:dyDescent="0.45">
      <c r="A4" s="8"/>
      <c r="B4" s="8"/>
      <c r="C4" s="8"/>
      <c r="D4" s="8"/>
      <c r="E4" s="8"/>
    </row>
    <row r="5" spans="1:11" ht="28.5" x14ac:dyDescent="0.45">
      <c r="A5" s="8"/>
      <c r="B5" s="8"/>
      <c r="C5" s="4" t="s">
        <v>24</v>
      </c>
      <c r="D5" s="4" t="s">
        <v>21</v>
      </c>
      <c r="E5" s="8"/>
      <c r="G5" s="4" t="s">
        <v>31</v>
      </c>
      <c r="H5" s="4" t="s">
        <v>32</v>
      </c>
      <c r="I5" s="4" t="s">
        <v>33</v>
      </c>
    </row>
    <row r="6" spans="1:11" x14ac:dyDescent="0.45">
      <c r="A6" s="8"/>
      <c r="B6" s="8"/>
      <c r="C6" s="5" t="s">
        <v>19</v>
      </c>
      <c r="D6" s="5">
        <v>1032892</v>
      </c>
      <c r="E6" s="8"/>
      <c r="G6" s="5" t="s">
        <v>34</v>
      </c>
      <c r="H6" s="5">
        <v>59490</v>
      </c>
      <c r="I6" s="5">
        <v>98330</v>
      </c>
    </row>
    <row r="7" spans="1:11" x14ac:dyDescent="0.45">
      <c r="A7" s="8"/>
      <c r="B7" s="8"/>
      <c r="C7" s="5" t="s">
        <v>25</v>
      </c>
      <c r="D7" s="5">
        <v>429629</v>
      </c>
      <c r="E7" s="8"/>
      <c r="G7" s="5" t="s">
        <v>35</v>
      </c>
      <c r="H7" s="5">
        <v>51736</v>
      </c>
      <c r="I7" s="5">
        <v>148091</v>
      </c>
    </row>
    <row r="8" spans="1:11" x14ac:dyDescent="0.45">
      <c r="A8" s="8"/>
      <c r="B8" s="8"/>
      <c r="C8" s="5" t="s">
        <v>26</v>
      </c>
      <c r="D8" s="5">
        <v>1462521</v>
      </c>
      <c r="E8" s="8"/>
      <c r="G8" s="5" t="s">
        <v>36</v>
      </c>
      <c r="H8" s="5">
        <v>50116</v>
      </c>
      <c r="I8" s="5">
        <v>165187</v>
      </c>
    </row>
    <row r="9" spans="1:11" ht="28.5" x14ac:dyDescent="0.45">
      <c r="A9" s="8"/>
      <c r="B9" s="8"/>
      <c r="C9" s="8"/>
      <c r="D9" s="8"/>
      <c r="E9" s="8"/>
      <c r="G9" s="5" t="s">
        <v>37</v>
      </c>
      <c r="H9" s="5">
        <v>45867</v>
      </c>
      <c r="I9" s="5">
        <v>155176</v>
      </c>
    </row>
    <row r="10" spans="1:11" x14ac:dyDescent="0.45">
      <c r="A10" s="8"/>
      <c r="B10" s="8"/>
      <c r="C10" s="11" t="s">
        <v>27</v>
      </c>
      <c r="D10" s="11"/>
      <c r="E10" s="8"/>
      <c r="G10" s="5" t="s">
        <v>38</v>
      </c>
      <c r="H10" s="5">
        <v>56252</v>
      </c>
      <c r="I10" s="5">
        <v>172817</v>
      </c>
    </row>
    <row r="11" spans="1:11" x14ac:dyDescent="0.45">
      <c r="G11" s="5" t="s">
        <v>39</v>
      </c>
      <c r="H11" s="5">
        <v>76896</v>
      </c>
      <c r="I11" s="5">
        <v>161338</v>
      </c>
    </row>
    <row r="12" spans="1:11" ht="23.25" x14ac:dyDescent="0.45">
      <c r="A12" s="3" t="s">
        <v>28</v>
      </c>
      <c r="B12" s="3"/>
      <c r="C12" s="3"/>
      <c r="D12" s="3"/>
      <c r="E12" s="3"/>
      <c r="G12" s="5" t="s">
        <v>40</v>
      </c>
      <c r="H12" s="5">
        <v>89272</v>
      </c>
      <c r="I12" s="5">
        <v>131953</v>
      </c>
    </row>
    <row r="14" spans="1:11" ht="28.5" x14ac:dyDescent="0.45">
      <c r="C14" s="4" t="s">
        <v>24</v>
      </c>
      <c r="D14" s="4" t="s">
        <v>29</v>
      </c>
      <c r="F14" t="s">
        <v>41</v>
      </c>
    </row>
    <row r="15" spans="1:11" x14ac:dyDescent="0.45">
      <c r="C15" s="5" t="s">
        <v>25</v>
      </c>
      <c r="D15" s="5">
        <v>21.52</v>
      </c>
    </row>
    <row r="16" spans="1:11" x14ac:dyDescent="0.45">
      <c r="C16" s="5" t="s">
        <v>19</v>
      </c>
      <c r="D16" s="5">
        <v>11.25</v>
      </c>
    </row>
    <row r="17" spans="1:10" x14ac:dyDescent="0.45">
      <c r="C17" s="6"/>
      <c r="D17" s="6"/>
    </row>
    <row r="18" spans="1:10" x14ac:dyDescent="0.45">
      <c r="C18" t="s">
        <v>27</v>
      </c>
    </row>
    <row r="20" spans="1:10" ht="20.25" customHeight="1" x14ac:dyDescent="0.45">
      <c r="A20" s="3" t="s">
        <v>42</v>
      </c>
      <c r="B20" s="3"/>
      <c r="C20" s="3"/>
      <c r="D20" s="3"/>
      <c r="E20" s="3"/>
      <c r="G20" s="3" t="s">
        <v>45</v>
      </c>
      <c r="H20" s="3"/>
      <c r="I20" s="3"/>
      <c r="J20" s="3"/>
    </row>
    <row r="22" spans="1:10" x14ac:dyDescent="0.45">
      <c r="C22" s="4" t="s">
        <v>43</v>
      </c>
      <c r="D22" s="4" t="s">
        <v>32</v>
      </c>
      <c r="E22" s="4" t="s">
        <v>33</v>
      </c>
      <c r="G22" s="4" t="s">
        <v>46</v>
      </c>
      <c r="H22" s="4" t="s">
        <v>32</v>
      </c>
      <c r="I22" s="4" t="s">
        <v>33</v>
      </c>
    </row>
    <row r="23" spans="1:10" x14ac:dyDescent="0.45">
      <c r="C23" s="9">
        <v>45658</v>
      </c>
      <c r="D23" s="5">
        <v>24124</v>
      </c>
      <c r="E23" s="5">
        <v>114527</v>
      </c>
      <c r="G23" s="10">
        <v>0</v>
      </c>
      <c r="H23" s="5">
        <v>7633</v>
      </c>
      <c r="I23" s="5">
        <v>8394</v>
      </c>
    </row>
    <row r="24" spans="1:10" x14ac:dyDescent="0.45">
      <c r="C24" s="9">
        <v>45689</v>
      </c>
      <c r="D24" s="5">
        <v>27757</v>
      </c>
      <c r="E24" s="5">
        <v>124144</v>
      </c>
      <c r="G24" s="10">
        <v>4.1666666666666664E-2</v>
      </c>
      <c r="H24" s="5">
        <v>4804</v>
      </c>
      <c r="I24" s="5">
        <v>5110</v>
      </c>
    </row>
    <row r="25" spans="1:10" x14ac:dyDescent="0.45">
      <c r="C25" s="9">
        <v>45717</v>
      </c>
      <c r="D25" s="5">
        <v>85862</v>
      </c>
      <c r="E25" s="5">
        <v>212268</v>
      </c>
      <c r="G25" s="10">
        <v>8.3333333333333329E-2</v>
      </c>
      <c r="H25" s="5">
        <v>3172</v>
      </c>
      <c r="I25" s="5">
        <v>2942</v>
      </c>
    </row>
    <row r="26" spans="1:10" x14ac:dyDescent="0.45">
      <c r="C26" s="9">
        <v>45748</v>
      </c>
      <c r="D26" s="5">
        <v>109239</v>
      </c>
      <c r="E26" s="5">
        <v>262137</v>
      </c>
      <c r="G26" s="10">
        <v>0.125</v>
      </c>
      <c r="H26" s="5">
        <v>1812</v>
      </c>
      <c r="I26" s="5">
        <v>2209</v>
      </c>
    </row>
    <row r="27" spans="1:10" x14ac:dyDescent="0.45">
      <c r="C27" s="9">
        <v>45778</v>
      </c>
      <c r="D27" s="5">
        <v>182610</v>
      </c>
      <c r="E27" s="5">
        <v>319800</v>
      </c>
      <c r="G27" s="10">
        <v>0.16666666666666666</v>
      </c>
      <c r="H27" s="5">
        <v>1517</v>
      </c>
      <c r="I27" s="5">
        <v>2653</v>
      </c>
    </row>
    <row r="28" spans="1:10" x14ac:dyDescent="0.45">
      <c r="G28" s="10">
        <v>0.20833333333333334</v>
      </c>
      <c r="H28" s="5">
        <v>2419</v>
      </c>
      <c r="I28" s="5">
        <v>9965</v>
      </c>
    </row>
    <row r="29" spans="1:10" x14ac:dyDescent="0.45">
      <c r="B29" t="s">
        <v>44</v>
      </c>
      <c r="G29" s="10">
        <v>0.25</v>
      </c>
      <c r="H29" s="5">
        <v>5870</v>
      </c>
      <c r="I29" s="5">
        <v>29704</v>
      </c>
    </row>
    <row r="30" spans="1:10" x14ac:dyDescent="0.45">
      <c r="G30" s="10">
        <v>0.29166666666666669</v>
      </c>
      <c r="H30" s="5">
        <v>11473</v>
      </c>
      <c r="I30" s="5">
        <v>59144</v>
      </c>
    </row>
    <row r="31" spans="1:10" x14ac:dyDescent="0.45">
      <c r="G31" s="10">
        <v>0.33333333333333331</v>
      </c>
      <c r="H31" s="5">
        <v>16531</v>
      </c>
      <c r="I31" s="5">
        <v>77182</v>
      </c>
    </row>
    <row r="32" spans="1:10" ht="23.25" x14ac:dyDescent="0.45">
      <c r="B32" s="3" t="s">
        <v>48</v>
      </c>
      <c r="C32" s="3"/>
      <c r="D32" s="3"/>
      <c r="E32" s="3"/>
      <c r="G32" s="10">
        <v>0.375</v>
      </c>
      <c r="H32" s="5">
        <v>15829</v>
      </c>
      <c r="I32" s="5">
        <v>50904</v>
      </c>
    </row>
    <row r="33" spans="2:9" x14ac:dyDescent="0.45">
      <c r="G33" s="10">
        <v>0.41666666666666669</v>
      </c>
      <c r="H33" s="5">
        <v>18204</v>
      </c>
      <c r="I33" s="5">
        <v>42832</v>
      </c>
    </row>
    <row r="34" spans="2:9" ht="42.75" x14ac:dyDescent="0.45">
      <c r="B34" s="4" t="s">
        <v>31</v>
      </c>
      <c r="C34" s="4" t="s">
        <v>49</v>
      </c>
      <c r="D34" s="4" t="s">
        <v>50</v>
      </c>
      <c r="G34" s="10">
        <v>0.45833333333333331</v>
      </c>
      <c r="H34" s="5">
        <v>23390</v>
      </c>
      <c r="I34" s="5">
        <v>49589</v>
      </c>
    </row>
    <row r="35" spans="2:9" x14ac:dyDescent="0.45">
      <c r="B35" s="5" t="s">
        <v>34</v>
      </c>
      <c r="C35" s="5">
        <v>25.42</v>
      </c>
      <c r="D35" s="5">
        <v>12.23</v>
      </c>
      <c r="G35" s="10">
        <v>0.5</v>
      </c>
      <c r="H35" s="5">
        <v>27984</v>
      </c>
      <c r="I35" s="5">
        <v>56962</v>
      </c>
    </row>
    <row r="36" spans="2:9" x14ac:dyDescent="0.45">
      <c r="B36" s="5" t="s">
        <v>35</v>
      </c>
      <c r="C36" s="5">
        <v>21.29</v>
      </c>
      <c r="D36" s="5">
        <v>10.86</v>
      </c>
      <c r="G36" s="10">
        <v>0.54166666666666663</v>
      </c>
      <c r="H36" s="5">
        <v>29127</v>
      </c>
      <c r="I36" s="5">
        <v>55604</v>
      </c>
    </row>
    <row r="37" spans="2:9" x14ac:dyDescent="0.45">
      <c r="B37" s="5" t="s">
        <v>36</v>
      </c>
      <c r="C37" s="5">
        <v>19.079999999999998</v>
      </c>
      <c r="D37" s="5">
        <v>10.89</v>
      </c>
      <c r="G37" s="10">
        <v>0.58333333333333337</v>
      </c>
      <c r="H37" s="5">
        <v>31061</v>
      </c>
      <c r="I37" s="5">
        <v>56462</v>
      </c>
    </row>
    <row r="38" spans="2:9" ht="28.5" x14ac:dyDescent="0.45">
      <c r="B38" s="5" t="s">
        <v>37</v>
      </c>
      <c r="C38" s="5">
        <v>16.579999999999998</v>
      </c>
      <c r="D38" s="5">
        <v>10.54</v>
      </c>
      <c r="G38" s="10">
        <v>0.625</v>
      </c>
      <c r="H38" s="5">
        <v>35155</v>
      </c>
      <c r="I38" s="5">
        <v>72016</v>
      </c>
    </row>
    <row r="39" spans="2:9" x14ac:dyDescent="0.45">
      <c r="B39" s="5" t="s">
        <v>38</v>
      </c>
      <c r="C39" s="5">
        <v>18.52</v>
      </c>
      <c r="D39" s="5">
        <v>10.93</v>
      </c>
      <c r="G39" s="10">
        <v>0.66666666666666663</v>
      </c>
      <c r="H39" s="5">
        <v>40900</v>
      </c>
      <c r="I39" s="5">
        <v>101079</v>
      </c>
    </row>
    <row r="40" spans="2:9" x14ac:dyDescent="0.45">
      <c r="B40" s="5" t="s">
        <v>39</v>
      </c>
      <c r="C40" s="5">
        <v>21.85</v>
      </c>
      <c r="D40" s="5">
        <v>11.53</v>
      </c>
      <c r="G40" s="10">
        <v>0.70833333333333337</v>
      </c>
      <c r="H40" s="5">
        <v>43247</v>
      </c>
      <c r="I40" s="5">
        <v>112776</v>
      </c>
    </row>
    <row r="41" spans="2:9" x14ac:dyDescent="0.45">
      <c r="B41" s="5" t="s">
        <v>40</v>
      </c>
      <c r="C41" s="5">
        <v>24.53</v>
      </c>
      <c r="D41" s="5">
        <v>12.32</v>
      </c>
      <c r="G41" s="10">
        <v>0.75</v>
      </c>
      <c r="H41" s="5">
        <v>35280</v>
      </c>
      <c r="I41" s="5">
        <v>83726</v>
      </c>
    </row>
    <row r="42" spans="2:9" x14ac:dyDescent="0.45">
      <c r="G42" s="10">
        <v>0.79166666666666663</v>
      </c>
      <c r="H42" s="5">
        <v>24069</v>
      </c>
      <c r="I42" s="5">
        <v>55349</v>
      </c>
    </row>
    <row r="43" spans="2:9" x14ac:dyDescent="0.45">
      <c r="B43" t="s">
        <v>51</v>
      </c>
      <c r="G43" s="10">
        <v>0.83333333333333337</v>
      </c>
      <c r="H43" s="5">
        <v>15955</v>
      </c>
      <c r="I43" s="5">
        <v>36599</v>
      </c>
    </row>
    <row r="44" spans="2:9" x14ac:dyDescent="0.45">
      <c r="G44" s="10">
        <v>0.875</v>
      </c>
      <c r="H44" s="5">
        <v>13833</v>
      </c>
      <c r="I44" s="5">
        <v>28604</v>
      </c>
    </row>
    <row r="45" spans="2:9" x14ac:dyDescent="0.45">
      <c r="G45" s="10">
        <v>0.91666666666666663</v>
      </c>
      <c r="H45" s="5">
        <v>11438</v>
      </c>
      <c r="I45" s="5">
        <v>20245</v>
      </c>
    </row>
    <row r="46" spans="2:9" x14ac:dyDescent="0.45">
      <c r="G46" s="10">
        <v>0.95833333333333337</v>
      </c>
      <c r="H46" s="5">
        <v>8889</v>
      </c>
      <c r="I46" s="5">
        <v>12826</v>
      </c>
    </row>
    <row r="48" spans="2:9" x14ac:dyDescent="0.45">
      <c r="G48" t="s">
        <v>47</v>
      </c>
    </row>
    <row r="49" spans="2:8" ht="23.25" x14ac:dyDescent="0.45">
      <c r="B49" s="2" t="s">
        <v>52</v>
      </c>
    </row>
    <row r="52" spans="2:8" ht="17.649999999999999" x14ac:dyDescent="0.45">
      <c r="B52" s="12" t="s">
        <v>53</v>
      </c>
      <c r="C52" s="12"/>
      <c r="D52" s="12"/>
      <c r="F52" s="13" t="s">
        <v>55</v>
      </c>
      <c r="G52" s="13"/>
      <c r="H52" s="13"/>
    </row>
    <row r="53" spans="2:8" x14ac:dyDescent="0.45">
      <c r="B53" s="4" t="s">
        <v>54</v>
      </c>
      <c r="C53" s="4" t="s">
        <v>20</v>
      </c>
      <c r="D53" s="4" t="s">
        <v>21</v>
      </c>
      <c r="F53" s="4" t="s">
        <v>54</v>
      </c>
      <c r="G53" s="4" t="s">
        <v>20</v>
      </c>
      <c r="H53" s="4" t="s">
        <v>21</v>
      </c>
    </row>
    <row r="54" spans="2:8" ht="28.5" x14ac:dyDescent="0.45">
      <c r="B54" s="5">
        <v>1</v>
      </c>
      <c r="C54" s="5" t="s">
        <v>0</v>
      </c>
      <c r="D54" s="5">
        <v>8467</v>
      </c>
      <c r="F54" s="5">
        <v>1</v>
      </c>
      <c r="G54" s="5" t="s">
        <v>7</v>
      </c>
      <c r="H54" s="5">
        <v>10841</v>
      </c>
    </row>
    <row r="55" spans="2:8" ht="28.5" x14ac:dyDescent="0.45">
      <c r="B55" s="5">
        <v>2</v>
      </c>
      <c r="C55" s="5" t="s">
        <v>1</v>
      </c>
      <c r="D55" s="5">
        <v>6723</v>
      </c>
      <c r="F55" s="5">
        <v>2</v>
      </c>
      <c r="G55" s="5" t="s">
        <v>10</v>
      </c>
      <c r="H55" s="5">
        <v>8640</v>
      </c>
    </row>
    <row r="56" spans="2:8" ht="28.5" x14ac:dyDescent="0.45">
      <c r="B56" s="5">
        <v>3</v>
      </c>
      <c r="C56" s="5" t="s">
        <v>2</v>
      </c>
      <c r="D56" s="5">
        <v>4120</v>
      </c>
      <c r="F56" s="5">
        <v>3</v>
      </c>
      <c r="G56" s="5" t="s">
        <v>11</v>
      </c>
      <c r="H56" s="5">
        <v>7643</v>
      </c>
    </row>
    <row r="57" spans="2:8" x14ac:dyDescent="0.45">
      <c r="B57" s="5">
        <v>4</v>
      </c>
      <c r="C57" s="5" t="s">
        <v>3</v>
      </c>
      <c r="D57" s="5">
        <v>4081</v>
      </c>
      <c r="F57" s="5">
        <v>4</v>
      </c>
      <c r="G57" s="5" t="s">
        <v>12</v>
      </c>
      <c r="H57" s="5">
        <v>7574</v>
      </c>
    </row>
    <row r="58" spans="2:8" ht="28.5" x14ac:dyDescent="0.45">
      <c r="B58" s="5">
        <v>5</v>
      </c>
      <c r="C58" s="5" t="s">
        <v>4</v>
      </c>
      <c r="D58" s="5">
        <v>3716</v>
      </c>
      <c r="F58" s="5">
        <v>5</v>
      </c>
      <c r="G58" s="5" t="s">
        <v>13</v>
      </c>
      <c r="H58" s="5">
        <v>7520</v>
      </c>
    </row>
    <row r="59" spans="2:8" x14ac:dyDescent="0.45">
      <c r="B59" s="5">
        <v>6</v>
      </c>
      <c r="C59" s="5" t="s">
        <v>5</v>
      </c>
      <c r="D59" s="5">
        <v>3662</v>
      </c>
      <c r="F59" s="5">
        <v>6</v>
      </c>
      <c r="G59" s="5" t="s">
        <v>14</v>
      </c>
      <c r="H59" s="5">
        <v>6901</v>
      </c>
    </row>
    <row r="60" spans="2:8" ht="28.5" x14ac:dyDescent="0.45">
      <c r="B60" s="5">
        <v>7</v>
      </c>
      <c r="C60" s="5" t="s">
        <v>6</v>
      </c>
      <c r="D60" s="5">
        <v>3014</v>
      </c>
      <c r="F60" s="5">
        <v>7</v>
      </c>
      <c r="G60" s="5" t="s">
        <v>15</v>
      </c>
      <c r="H60" s="5">
        <v>6839</v>
      </c>
    </row>
    <row r="61" spans="2:8" ht="28.5" x14ac:dyDescent="0.45">
      <c r="B61" s="5">
        <v>8</v>
      </c>
      <c r="C61" s="5" t="s">
        <v>7</v>
      </c>
      <c r="D61" s="5">
        <v>2580</v>
      </c>
      <c r="F61" s="5">
        <v>8</v>
      </c>
      <c r="G61" s="5" t="s">
        <v>16</v>
      </c>
      <c r="H61" s="5">
        <v>6305</v>
      </c>
    </row>
    <row r="62" spans="2:8" x14ac:dyDescent="0.45">
      <c r="B62" s="5">
        <v>9</v>
      </c>
      <c r="C62" s="5" t="s">
        <v>8</v>
      </c>
      <c r="D62" s="5">
        <v>2424</v>
      </c>
      <c r="F62" s="5">
        <v>9</v>
      </c>
      <c r="G62" s="5" t="s">
        <v>17</v>
      </c>
      <c r="H62" s="5">
        <v>5854</v>
      </c>
    </row>
    <row r="63" spans="2:8" ht="28.5" x14ac:dyDescent="0.45">
      <c r="B63" s="5">
        <v>10</v>
      </c>
      <c r="C63" s="5" t="s">
        <v>9</v>
      </c>
      <c r="D63" s="5">
        <v>2293</v>
      </c>
      <c r="F63" s="5">
        <v>10</v>
      </c>
      <c r="G63" s="5" t="s">
        <v>18</v>
      </c>
      <c r="H63" s="5">
        <v>5837</v>
      </c>
    </row>
    <row r="66" spans="3:3" x14ac:dyDescent="0.45">
      <c r="C66" t="s">
        <v>56</v>
      </c>
    </row>
  </sheetData>
  <mergeCells count="9">
    <mergeCell ref="B32:E32"/>
    <mergeCell ref="B52:D52"/>
    <mergeCell ref="F52:H52"/>
    <mergeCell ref="C1:F1"/>
    <mergeCell ref="A3:E3"/>
    <mergeCell ref="A12:E12"/>
    <mergeCell ref="F3:K3"/>
    <mergeCell ref="A20:E20"/>
    <mergeCell ref="G20:J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B3D1-6566-49F8-AD51-C5494AFC4C06}">
  <dimension ref="H2:N2"/>
  <sheetViews>
    <sheetView tabSelected="1" topLeftCell="A10" zoomScale="87" workbookViewId="0">
      <selection activeCell="U14" sqref="U14"/>
    </sheetView>
  </sheetViews>
  <sheetFormatPr defaultRowHeight="14.25" x14ac:dyDescent="0.45"/>
  <cols>
    <col min="7" max="7" width="9.06640625" customWidth="1"/>
    <col min="11" max="11" width="9.06640625" customWidth="1"/>
  </cols>
  <sheetData>
    <row r="2" spans="8:14" ht="21" x14ac:dyDescent="0.65">
      <c r="H2" s="14" t="s">
        <v>57</v>
      </c>
      <c r="I2" s="14"/>
      <c r="J2" s="14"/>
      <c r="K2" s="14"/>
      <c r="L2" s="14"/>
      <c r="M2" s="14"/>
      <c r="N2" s="14"/>
    </row>
  </sheetData>
  <mergeCells count="1">
    <mergeCell ref="H2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Summery 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Sapam Dayananda</dc:creator>
  <cp:lastModifiedBy>Sapam Dayananda</cp:lastModifiedBy>
  <dcterms:created xsi:type="dcterms:W3CDTF">2026-10-22T09:27:17Z</dcterms:created>
  <dcterms:modified xsi:type="dcterms:W3CDTF">2026-10-23T08:05:16Z</dcterms:modified>
</cp:coreProperties>
</file>